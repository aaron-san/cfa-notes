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esktop\Local Projects\Web Dev\Projects\React\fincoder-blog\app\excel\"/>
    </mc:Choice>
  </mc:AlternateContent>
  <xr:revisionPtr revIDLastSave="0" documentId="13_ncr:1_{CF333154-F5B7-400D-ACEF-E8E6B1343943}" xr6:coauthVersionLast="47" xr6:coauthVersionMax="47" xr10:uidLastSave="{00000000-0000-0000-0000-000000000000}"/>
  <bookViews>
    <workbookView xWindow="-120" yWindow="-120" windowWidth="20730" windowHeight="11040" xr2:uid="{032F463E-2B59-48BD-A9C5-908FB4585311}"/>
  </bookViews>
  <sheets>
    <sheet name="Capitalize R&amp;D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G9" i="1" s="1"/>
  <c r="C15" i="1" a="1"/>
  <c r="C15" i="1" s="1"/>
  <c r="E10" i="1" s="1"/>
  <c r="E9" i="1"/>
  <c r="F9" i="1" s="1"/>
  <c r="D26" i="1"/>
  <c r="D10" i="1" l="1"/>
  <c r="C16" i="1" a="1"/>
  <c r="C16" i="1" s="1"/>
  <c r="E11" i="1" s="1"/>
  <c r="D11" i="1" l="1"/>
  <c r="D22" i="1"/>
  <c r="D24" i="1" l="1"/>
  <c r="D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<sst xmlns="http://schemas.openxmlformats.org/spreadsheetml/2006/main" count="17" uniqueCount="15">
  <si>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Year</t>
  </si>
  <si>
    <t>R&amp;D Expense</t>
  </si>
  <si>
    <t>Amortization This Year</t>
  </si>
  <si>
    <t>($ thous)</t>
  </si>
  <si>
    <t>Net income, adjusted</t>
  </si>
  <si>
    <t>Net income, reported</t>
  </si>
  <si>
    <t>BV equity, reported</t>
  </si>
  <si>
    <t>BV equity, adjusted</t>
  </si>
  <si>
    <t>ROE, reported</t>
  </si>
  <si>
    <t>ROE, adjusted</t>
  </si>
  <si>
    <t>?</t>
  </si>
  <si>
    <t>Straightline Amortization</t>
  </si>
  <si>
    <t>Amortizable life of research asset (in years) (est. commercial product life)</t>
  </si>
  <si>
    <t>Value of Research Asset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</si>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</sst>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_(* #,##0_);_(* \(#,##0\);_(* &quot;-&quot;??_);_(@_)"/>
    <numFmt numFmtId="167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0" xfId="2" applyNumberFormat="1" applyFont="1"/>
    <xf numFmtId="166" fontId="0" fillId="0" borderId="0" xfId="1" applyNumberFormat="1" applyFont="1"/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4" xfId="1" applyNumberFormat="1" applyFont="1" applyBorder="1"/>
    <xf numFmtId="164" fontId="0" fillId="0" borderId="0" xfId="0" applyNumberFormat="1"/>
    <xf numFmtId="167" fontId="0" fillId="0" borderId="0" xfId="3" applyNumberFormat="1" applyFont="1"/>
    <xf numFmtId="164" fontId="2" fillId="2" borderId="1" xfId="4" applyNumberFormat="1"/>
    <xf numFmtId="166" fontId="2" fillId="2" borderId="1" xfId="4" applyNumberFormat="1"/>
    <xf numFmtId="0" fontId="0" fillId="0" borderId="0" xfId="0" applyAlignment="1">
      <alignment horizontal="left"/>
    </xf>
    <xf numFmtId="1" fontId="2" fillId="2" borderId="1" xfId="1" applyNumberFormat="1" applyFont="1" applyFill="1" applyBorder="1" applyAlignment="1">
      <alignment horizontal="center"/>
    </xf>
    <xf numFmtId="166" fontId="0" fillId="0" borderId="0" xfId="1" applyNumberFormat="1" applyFont="1" applyBorder="1"/>
    <xf numFmtId="0" fontId="5" fillId="0" borderId="0" xfId="0" applyFont="1"/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</cellXfs>
  <cellStyles count="5">
    <cellStyle name="Comma" xfId="1" builtinId="3"/>
    <cellStyle name="Currency" xfId="2" builtinId="4"/>
    <cellStyle name="Input" xfId="4" builtinId="20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618E-205A-420F-9E79-B42E6B2EE7BB}">
  <dimension ref="B3:K27"/>
  <sheetViews>
    <sheetView tabSelected="1" workbookViewId="0">
      <selection activeCell="G5" sqref="G5"/>
    </sheetView>
  </sheetViews>
  <sheetFormatPr defaultRowHeight="15" x14ac:dyDescent="0.25"/>
  <cols>
    <col min="3" max="3" width="12.5703125" customWidth="1"/>
    <col min="4" max="4" width="10.5703125" customWidth="1"/>
    <col min="5" max="5" width="11.85546875" customWidth="1"/>
    <col min="6" max="6" width="12.7109375" customWidth="1"/>
    <col min="7" max="7" width="15.7109375" customWidth="1"/>
  </cols>
  <sheetData>
    <row r="3" spans="2:7" x14ac:dyDescent="0.25">
      <c r="B3" t="s">
        <v>11</v>
      </c>
    </row>
    <row r="4" spans="2:7" x14ac:dyDescent="0.25">
      <c r="B4" s="14">
        <v>5</v>
      </c>
      <c r="C4" s="13" t="s">
        <v>12</v>
      </c>
    </row>
    <row r="7" spans="2:7" x14ac:dyDescent="0.25">
      <c r="B7" s="6" t="s">
        <v>3</v>
      </c>
      <c r="C7" s="4"/>
      <c r="D7" s="17" t="s">
        <v>2</v>
      </c>
      <c r="E7" s="17" t="s">
        <v>13</v>
      </c>
    </row>
    <row r="8" spans="2:7" ht="15.75" thickBot="1" x14ac:dyDescent="0.3">
      <c r="B8" s="5" t="s">
        <v>0</v>
      </c>
      <c r="C8" s="5" t="s">
        <v>1</v>
      </c>
      <c r="D8" s="18"/>
      <c r="E8" s="18"/>
    </row>
    <row r="9" spans="2:7" x14ac:dyDescent="0.25">
      <c r="B9" s="1" t="s">
        <v>14</v>
      </c>
      <c r="C9" s="11">
        <v>3320</v>
      </c>
      <c r="D9" s="2">
        <f>SUM(C10:C14)*1/$B$4</f>
        <v>3280.2</v>
      </c>
      <c r="E9" s="9">
        <f>C9+C10*(1-1/$B$4)+C11*(1-2/$B$4)+C12*(1-3/$B$4)+C13*(1-4/$B$4)+C14*(1-5/$B$4)</f>
        <v>9918.2000000000007</v>
      </c>
      <c r="F9" s="16" t="str">
        <f>"9,918"&amp;IF(ROUND(E9,0)=9918," ✔️"," ❌")</f>
        <v>9,918 ✔️</v>
      </c>
      <c r="G9" s="16" t="str">
        <f>"3,280"&amp;IF(ROUND(D9,0)=3280," ✔️"," ❌")</f>
        <v>3,280 ✔️</v>
      </c>
    </row>
    <row r="10" spans="2:7" x14ac:dyDescent="0.25">
      <c r="B10" s="1">
        <v>-1</v>
      </c>
      <c r="C10" s="12">
        <v>3192</v>
      </c>
      <c r="D10" s="2">
        <f>SUM(C11:C15)*1/$B$4</f>
        <v>3286.5</v>
      </c>
      <c r="E10" s="9">
        <f>C10+C11*(1-1/$B$4)+C12*(1-2/$B$4)+C13*(1-3/$B$4)+C14*(1-4/$B$4)+C15*(1-5/$B$4)</f>
        <v>9878.3999999999978</v>
      </c>
    </row>
    <row r="11" spans="2:7" x14ac:dyDescent="0.25">
      <c r="B11" s="1">
        <v>-2</v>
      </c>
      <c r="C11" s="12">
        <v>3135</v>
      </c>
      <c r="D11" s="3">
        <f>SUM(C12:C16)*1/$B$4</f>
        <v>3300.4199999999996</v>
      </c>
      <c r="E11" s="9">
        <f>C11+C12*(1+B12*1/$B$4)+C13*(1+B13*1/$B$4)+C14*(1+B14*1/$B$4)+C15*(1+B15*1/$B$4)+C16*(1+B16*1/$B$4)</f>
        <v>3372.0600000000004</v>
      </c>
    </row>
    <row r="12" spans="2:7" x14ac:dyDescent="0.25">
      <c r="B12" s="1">
        <v>-3</v>
      </c>
      <c r="C12" s="12">
        <v>3448</v>
      </c>
      <c r="D12" s="3"/>
    </row>
    <row r="13" spans="2:7" x14ac:dyDescent="0.25">
      <c r="B13" s="1">
        <v>-4</v>
      </c>
      <c r="C13" s="12">
        <v>3922</v>
      </c>
      <c r="D13" s="3"/>
    </row>
    <row r="14" spans="2:7" x14ac:dyDescent="0.25">
      <c r="B14" s="7">
        <v>-5</v>
      </c>
      <c r="C14" s="12">
        <v>2704</v>
      </c>
      <c r="D14" s="8"/>
    </row>
    <row r="15" spans="2:7" x14ac:dyDescent="0.25">
      <c r="B15" s="1">
        <v>-6</v>
      </c>
      <c r="C15" s="12" cm="1">
        <f t="array" ref="C15">TREND(C10:C14,B10:B14,B15)</f>
        <v>3223.4999999999995</v>
      </c>
      <c r="F15" s="15"/>
    </row>
    <row r="16" spans="2:7" x14ac:dyDescent="0.25">
      <c r="B16" s="1">
        <v>-7</v>
      </c>
      <c r="C16" s="12" cm="1">
        <f t="array" ref="C16">TREND(C10:C15,B10:B15,B16)</f>
        <v>3204.5999999999995</v>
      </c>
      <c r="F16" s="15"/>
    </row>
    <row r="17" spans="2:11" x14ac:dyDescent="0.25">
      <c r="B17" s="1"/>
      <c r="C17" s="3"/>
      <c r="D17" s="1"/>
      <c r="E17" s="3"/>
      <c r="F17" s="3"/>
    </row>
    <row r="21" spans="2:11" x14ac:dyDescent="0.25">
      <c r="B21" t="s">
        <v>5</v>
      </c>
      <c r="D21" s="9">
        <v>10000</v>
      </c>
      <c r="I21" t="s">
        <v>5</v>
      </c>
      <c r="K21" s="9">
        <v>10000</v>
      </c>
    </row>
    <row r="22" spans="2:11" x14ac:dyDescent="0.25">
      <c r="B22" t="s">
        <v>4</v>
      </c>
      <c r="D22" s="9">
        <f>D21+C9-F19</f>
        <v>13320</v>
      </c>
    </row>
    <row r="23" spans="2:11" x14ac:dyDescent="0.25">
      <c r="B23" t="s">
        <v>6</v>
      </c>
      <c r="D23">
        <v>100000</v>
      </c>
    </row>
    <row r="24" spans="2:11" x14ac:dyDescent="0.25">
      <c r="B24" t="s">
        <v>7</v>
      </c>
      <c r="D24" s="9">
        <f>D23+E18</f>
        <v>100000</v>
      </c>
    </row>
    <row r="26" spans="2:11" x14ac:dyDescent="0.25">
      <c r="B26" t="s">
        <v>8</v>
      </c>
      <c r="D26" s="10">
        <f>D21/D23</f>
        <v>0.1</v>
      </c>
      <c r="E26" t="s">
        <v>10</v>
      </c>
    </row>
    <row r="27" spans="2:11" x14ac:dyDescent="0.25">
      <c r="B27" t="s">
        <v>9</v>
      </c>
      <c r="D27" s="10">
        <f>D22/D24</f>
        <v>0.13320000000000001</v>
      </c>
      <c r="E27" t="s">
        <v>10</v>
      </c>
    </row>
  </sheetData>
  <mergeCells count="2">
    <mergeCell ref="D7:D8"/>
    <mergeCell ref="E7:E8"/>
  </mergeCells>
  <pageMargins left="0.7" right="0.7" top="0.75" bottom="0.75" header="0.3" footer="0.3"/>
  <ignoredErrors>
    <ignoredError sqref="D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Capitalize R&amp;D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Hardy</dc:creator>
  <cp:lastModifiedBy>Aaron Hardy</cp:lastModifiedBy>
  <dcterms:created xsi:type="dcterms:W3CDTF">2025-12-29T12:55:24Z</dcterms:created>
  <dcterms:modified xsi:type="dcterms:W3CDTF">2026-01-01T13:38:11Z</dcterms:modified>
</cp:coreProperties>
</file>