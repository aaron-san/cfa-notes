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n\Desktop\Local Projects\Web Dev\Projects\React\fincoder-blog\app\excel\"/>
    </mc:Choice>
  </mc:AlternateContent>
  <xr:revisionPtr revIDLastSave="0" documentId="13_ncr:1_{0C897C64-4AA4-41CB-8C27-49D900692C87}" xr6:coauthVersionLast="47" xr6:coauthVersionMax="47" xr10:uidLastSave="{00000000-0000-0000-0000-000000000000}"/>
  <bookViews>
    <workbookView xWindow="-120" yWindow="-120" windowWidth="20730" windowHeight="11040" xr2:uid="{032F463E-2B59-48BD-A9C5-908FB4585311}"/>
  </bookViews>
  <sheets>
    <sheet name="Capitalize Operating Lease" sheetId="2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2" l="1"/>
  <c r="C24" i="2"/>
  <c r="D8" i="2"/>
  <c r="D7" i="2"/>
  <c r="D6" i="2"/>
  <c r="D5" i="2"/>
  <c r="D4" i="2"/>
  <c r="C12" i="2"/>
  <c r="C13" i="2" s="1"/>
  <c r="C15" i="2" l="1"/>
  <c r="C16" i="2" s="1"/>
  <c r="D9" i="2" s="1"/>
  <c r="C19" i="2" s="1"/>
  <c r="E4" i="2" s="1"/>
  <c r="C17" i="2"/>
  <c r="C21" i="2" l="1"/>
  <c r="F5" i="2" l="1"/>
  <c r="G5" i="2" s="1"/>
  <c r="E6" i="2" s="1"/>
  <c r="F4" i="2"/>
  <c r="G4" i="2" s="1"/>
  <c r="E5" i="2" s="1"/>
  <c r="F6" i="2" l="1"/>
  <c r="G6" i="2" s="1"/>
  <c r="E7" i="2" s="1"/>
  <c r="F7" i="2" s="1"/>
  <c r="G7" i="2" s="1"/>
  <c r="E8" i="2" s="1"/>
  <c r="F8" i="2" l="1"/>
  <c r="G8" i="2" s="1"/>
  <c r="E9" i="2" s="1"/>
  <c r="F9" i="2" l="1"/>
  <c r="G9" i="2" s="1"/>
  <c r="E10" i="2" s="1"/>
  <c r="F10" i="2" l="1"/>
  <c r="G10" i="2" s="1"/>
  <c r="E11" i="2" s="1"/>
  <c r="F11" i="2" l="1"/>
  <c r="G11" i="2" s="1"/>
  <c r="E12" i="2" s="1"/>
  <c r="F12" i="2" l="1"/>
  <c r="G12" i="2" s="1"/>
  <c r="E13" i="2" s="1"/>
  <c r="F13" i="2" l="1"/>
  <c r="G13" i="2" s="1"/>
  <c r="E14" i="2" l="1"/>
  <c r="F14" i="2" s="1"/>
  <c r="G14" i="2" s="1"/>
  <c r="E15" i="2" s="1"/>
  <c r="F15" i="2" l="1"/>
  <c r="G15" i="2" s="1"/>
  <c r="E16" i="2" s="1"/>
  <c r="F16" i="2" l="1"/>
  <c r="G16" i="2" s="1"/>
  <c r="E17" i="2" l="1"/>
  <c r="F17" i="2" s="1"/>
  <c r="G17" i="2" s="1"/>
  <c r="E18" i="2" l="1"/>
  <c r="F18" i="2" s="1"/>
  <c r="G18" i="2" s="1"/>
  <c r="E19" i="2" s="1"/>
  <c r="F19" i="2" l="1"/>
  <c r="G19" i="2" s="1"/>
  <c r="E20" i="2" s="1"/>
  <c r="F20" i="2" l="1"/>
  <c r="G20" i="2" s="1"/>
  <c r="E21" i="2" l="1"/>
  <c r="F21" i="2" s="1"/>
  <c r="G21" i="2" s="1"/>
  <c r="E22" i="2" s="1"/>
  <c r="F22" i="2" l="1"/>
  <c r="G22" i="2" s="1"/>
  <c r="E23" i="2" s="1"/>
  <c r="F23" i="2" l="1"/>
  <c r="G23" i="2" s="1"/>
  <c r="E24" i="2" s="1"/>
  <c r="F24" i="2" l="1"/>
  <c r="G24" i="2" s="1"/>
  <c r="E25" i="2" s="1"/>
  <c r="F25" i="2" l="1"/>
  <c r="G25" i="2" s="1"/>
  <c r="E26" i="2" s="1"/>
  <c r="F26" i="2" l="1"/>
  <c r="G26" i="2" s="1"/>
</calcChain>
</file>

<file path=xl/sharedStrings.xml><?xml version="1.0" encoding="utf-8"?>
<sst xmlns="http://schemas.openxmlformats.org/spreadsheetml/2006/main" count="18" uniqueCount="18">
  <si>
    <t>Year</t>
  </si>
  <si>
    <t>Commitment for subsequent Years</t>
  </si>
  <si>
    <t>Operating Lease</t>
  </si>
  <si>
    <t>Est. life of subsequent years</t>
  </si>
  <si>
    <t>Avg. Oper. Expense</t>
  </si>
  <si>
    <t>Pre-tax cost of debt</t>
  </si>
  <si>
    <t>PV of Payment</t>
  </si>
  <si>
    <t>Principal Payment</t>
  </si>
  <si>
    <t>Unamortized Value of Operating Lease</t>
  </si>
  <si>
    <t>PMT</t>
  </si>
  <si>
    <t>n</t>
  </si>
  <si>
    <t>Imputed interest</t>
  </si>
  <si>
    <t>PV oper. lease</t>
  </si>
  <si>
    <t>PV lump commitments</t>
  </si>
  <si>
    <t>Eff. PMT</t>
  </si>
  <si>
    <t>Debt</t>
  </si>
  <si>
    <t>Debt value of leases</t>
  </si>
  <si>
    <t>Adjusted 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</si>
</sst>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&quot;$&quot;#,##0"/>
    <numFmt numFmtId="166" formatCode="_(* #,##0_);_(* \(#,##0\);_(* &quot;-&quot;??_);_(@_)"/>
    <numFmt numFmtId="167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5" fillId="3" borderId="4" applyNumberFormat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165" fontId="0" fillId="0" borderId="0" xfId="2" applyNumberFormat="1" applyFont="1"/>
    <xf numFmtId="166" fontId="0" fillId="0" borderId="0" xfId="1" applyNumberFormat="1" applyFont="1"/>
    <xf numFmtId="0" fontId="4" fillId="0" borderId="3" xfId="0" applyFont="1" applyBorder="1" applyAlignment="1">
      <alignment horizontal="center"/>
    </xf>
    <xf numFmtId="164" fontId="0" fillId="0" borderId="0" xfId="0" applyNumberFormat="1"/>
    <xf numFmtId="167" fontId="0" fillId="0" borderId="0" xfId="3" applyNumberFormat="1" applyFont="1"/>
    <xf numFmtId="0" fontId="0" fillId="0" borderId="0" xfId="0" applyAlignment="1">
      <alignment horizontal="left"/>
    </xf>
    <xf numFmtId="166" fontId="0" fillId="0" borderId="0" xfId="1" applyNumberFormat="1" applyFont="1" applyBorder="1"/>
    <xf numFmtId="9" fontId="0" fillId="0" borderId="0" xfId="0" applyNumberFormat="1"/>
    <xf numFmtId="6" fontId="0" fillId="0" borderId="0" xfId="0" applyNumberFormat="1"/>
    <xf numFmtId="0" fontId="0" fillId="0" borderId="0" xfId="0" applyAlignment="1">
      <alignment horizontal="left" wrapText="1"/>
    </xf>
    <xf numFmtId="167" fontId="2" fillId="2" borderId="1" xfId="4" applyNumberFormat="1"/>
    <xf numFmtId="0" fontId="3" fillId="0" borderId="2" xfId="0" applyFont="1" applyBorder="1" applyAlignment="1">
      <alignment horizontal="left"/>
    </xf>
    <xf numFmtId="6" fontId="2" fillId="2" borderId="1" xfId="4" applyNumberFormat="1"/>
    <xf numFmtId="6" fontId="5" fillId="3" borderId="4" xfId="5" applyNumberFormat="1"/>
    <xf numFmtId="165" fontId="2" fillId="2" borderId="1" xfId="2" applyNumberFormat="1" applyFont="1" applyFill="1" applyBorder="1"/>
    <xf numFmtId="165" fontId="2" fillId="2" borderId="1" xfId="1" applyNumberFormat="1" applyFont="1" applyFill="1" applyBorder="1"/>
    <xf numFmtId="0" fontId="3" fillId="0" borderId="3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</cellXfs>
  <cellStyles count="6">
    <cellStyle name="Comma" xfId="1" builtinId="3"/>
    <cellStyle name="Currency" xfId="2" builtinId="4"/>
    <cellStyle name="Input" xfId="4" builtinId="20"/>
    <cellStyle name="Normal" xfId="0" builtinId="0"/>
    <cellStyle name="Output" xfId="5" builtinId="21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DB860-E6CA-48B0-8634-701EF8F0C0B7}">
  <dimension ref="B2:O141"/>
  <sheetViews>
    <sheetView tabSelected="1" workbookViewId="0">
      <selection activeCell="I5" sqref="I5"/>
    </sheetView>
  </sheetViews>
  <sheetFormatPr defaultRowHeight="15" x14ac:dyDescent="0.25"/>
  <cols>
    <col min="2" max="2" width="25.85546875" customWidth="1"/>
    <col min="3" max="9" width="12.5703125" customWidth="1"/>
    <col min="10" max="10" width="12.7109375" customWidth="1"/>
    <col min="11" max="11" width="15.7109375" customWidth="1"/>
  </cols>
  <sheetData>
    <row r="2" spans="2:15" x14ac:dyDescent="0.25">
      <c r="B2" s="4"/>
      <c r="C2" s="18" t="s">
        <v>2</v>
      </c>
      <c r="D2" s="18" t="s">
        <v>6</v>
      </c>
      <c r="E2" s="18" t="s">
        <v>11</v>
      </c>
      <c r="F2" s="18" t="s">
        <v>7</v>
      </c>
      <c r="G2" s="18" t="s">
        <v>8</v>
      </c>
    </row>
    <row r="3" spans="2:15" ht="15.75" thickBot="1" x14ac:dyDescent="0.3">
      <c r="B3" s="13" t="s">
        <v>0</v>
      </c>
      <c r="C3" s="19"/>
      <c r="D3" s="19"/>
      <c r="E3" s="19"/>
      <c r="F3" s="19"/>
      <c r="G3" s="19"/>
    </row>
    <row r="4" spans="2:15" x14ac:dyDescent="0.25">
      <c r="B4" s="7">
        <v>1</v>
      </c>
      <c r="C4" s="16">
        <v>146</v>
      </c>
      <c r="D4" s="2">
        <f>PV($C$14,B4,,-C4)</f>
        <v>138.38862559241707</v>
      </c>
      <c r="E4" s="2">
        <f>C19*$C$14</f>
        <v>93.765059855914998</v>
      </c>
      <c r="F4" s="2">
        <f t="shared" ref="F4:F26" si="0">$C$21-E4</f>
        <v>38.64765132767134</v>
      </c>
      <c r="G4" s="2">
        <f>C19-F4</f>
        <v>1666.1716187798741</v>
      </c>
    </row>
    <row r="5" spans="2:15" x14ac:dyDescent="0.25">
      <c r="B5" s="7">
        <v>2</v>
      </c>
      <c r="C5" s="17">
        <v>142</v>
      </c>
      <c r="D5" s="3">
        <f>PV($C$14,B5,,-C5)</f>
        <v>127.58024303137846</v>
      </c>
      <c r="E5" s="3">
        <f>G4*$C$14</f>
        <v>91.63943903289308</v>
      </c>
      <c r="F5" s="3">
        <f t="shared" si="0"/>
        <v>40.773272150693259</v>
      </c>
      <c r="G5" s="3">
        <f>G4-F5</f>
        <v>1625.3983466291809</v>
      </c>
    </row>
    <row r="6" spans="2:15" x14ac:dyDescent="0.25">
      <c r="B6" s="7">
        <v>3</v>
      </c>
      <c r="C6" s="17">
        <v>137</v>
      </c>
      <c r="D6" s="3">
        <f>PV($C$14,B6,,-C6)</f>
        <v>116.6710719931837</v>
      </c>
      <c r="E6" s="3">
        <f t="shared" ref="E6:E10" si="1">G5*$C$14</f>
        <v>89.396909064604955</v>
      </c>
      <c r="F6" s="3">
        <f t="shared" si="0"/>
        <v>43.015802118981384</v>
      </c>
      <c r="G6" s="3">
        <f t="shared" ref="G6:G10" si="2">G5-F6</f>
        <v>1582.3825445101995</v>
      </c>
    </row>
    <row r="7" spans="2:15" x14ac:dyDescent="0.25">
      <c r="B7" s="7">
        <v>4</v>
      </c>
      <c r="C7" s="17">
        <v>117</v>
      </c>
      <c r="D7" s="3">
        <f>PV($C$14,B7,,-C7)</f>
        <v>94.444358966357584</v>
      </c>
      <c r="E7" s="3">
        <f t="shared" si="1"/>
        <v>87.031039948060979</v>
      </c>
      <c r="F7" s="3">
        <f t="shared" si="0"/>
        <v>45.38167123552536</v>
      </c>
      <c r="G7" s="3">
        <f t="shared" si="2"/>
        <v>1537.0008732746742</v>
      </c>
    </row>
    <row r="8" spans="2:15" x14ac:dyDescent="0.25">
      <c r="B8" s="7">
        <v>5</v>
      </c>
      <c r="C8" s="17">
        <v>102</v>
      </c>
      <c r="D8" s="3">
        <f>PV($C$14,B8,,-C8)</f>
        <v>78.043704091776831</v>
      </c>
      <c r="E8" s="3">
        <f t="shared" si="1"/>
        <v>84.535048030107077</v>
      </c>
      <c r="F8" s="3">
        <f t="shared" si="0"/>
        <v>47.877663153479261</v>
      </c>
      <c r="G8" s="3">
        <f t="shared" si="2"/>
        <v>1489.1232101211949</v>
      </c>
      <c r="H8" s="3"/>
    </row>
    <row r="9" spans="2:15" ht="30" x14ac:dyDescent="0.25">
      <c r="B9" s="11" t="s">
        <v>1</v>
      </c>
      <c r="C9" s="17">
        <v>2405</v>
      </c>
      <c r="D9" s="3">
        <f>C16/(1+C14)^5</f>
        <v>1149.6912664324318</v>
      </c>
      <c r="E9" s="3">
        <f t="shared" si="1"/>
        <v>81.901776556665723</v>
      </c>
      <c r="F9" s="3">
        <f t="shared" si="0"/>
        <v>50.510934626920616</v>
      </c>
      <c r="G9" s="3">
        <f t="shared" si="2"/>
        <v>1438.6122754942744</v>
      </c>
      <c r="J9" s="8"/>
    </row>
    <row r="10" spans="2:15" x14ac:dyDescent="0.25">
      <c r="C10" s="3"/>
      <c r="D10" s="3"/>
      <c r="E10" s="3">
        <f t="shared" si="1"/>
        <v>79.123675152185086</v>
      </c>
      <c r="F10" s="3">
        <f t="shared" si="0"/>
        <v>53.289036031401253</v>
      </c>
      <c r="G10" s="3">
        <f t="shared" si="2"/>
        <v>1385.3232394628731</v>
      </c>
      <c r="J10" s="8"/>
    </row>
    <row r="11" spans="2:15" x14ac:dyDescent="0.25">
      <c r="B11" s="1"/>
      <c r="C11" s="3"/>
      <c r="D11" s="3"/>
      <c r="E11" s="3">
        <f t="shared" ref="E11:E26" si="3">G10*$C$14</f>
        <v>76.192778170458013</v>
      </c>
      <c r="F11" s="3">
        <f t="shared" si="0"/>
        <v>56.219933013128326</v>
      </c>
      <c r="G11" s="3">
        <f t="shared" ref="G11:G26" si="4">G10-F11</f>
        <v>1329.1033064497447</v>
      </c>
      <c r="H11" s="1"/>
      <c r="I11" s="3"/>
      <c r="J11" s="3"/>
    </row>
    <row r="12" spans="2:15" x14ac:dyDescent="0.25">
      <c r="B12" s="7" t="s">
        <v>4</v>
      </c>
      <c r="C12" s="10">
        <f>AVERAGE(C4:C8)</f>
        <v>128.80000000000001</v>
      </c>
      <c r="D12" s="3"/>
      <c r="E12" s="3">
        <f t="shared" si="3"/>
        <v>73.100681854735953</v>
      </c>
      <c r="F12" s="3">
        <f t="shared" si="0"/>
        <v>59.312029328850386</v>
      </c>
      <c r="G12" s="3">
        <f t="shared" si="4"/>
        <v>1269.7912771208942</v>
      </c>
      <c r="H12" s="1"/>
      <c r="I12" s="3"/>
      <c r="J12" s="3"/>
    </row>
    <row r="13" spans="2:15" x14ac:dyDescent="0.25">
      <c r="B13" t="s">
        <v>3</v>
      </c>
      <c r="C13">
        <f>TRUNC(C9/C12)</f>
        <v>18</v>
      </c>
      <c r="E13" s="3">
        <f t="shared" si="3"/>
        <v>69.838520241649178</v>
      </c>
      <c r="F13" s="3">
        <f t="shared" si="0"/>
        <v>62.574190941937161</v>
      </c>
      <c r="G13" s="3">
        <f t="shared" si="4"/>
        <v>1207.2170861789571</v>
      </c>
    </row>
    <row r="14" spans="2:15" x14ac:dyDescent="0.25">
      <c r="B14" t="s">
        <v>5</v>
      </c>
      <c r="C14" s="12">
        <v>5.5E-2</v>
      </c>
      <c r="D14" s="9"/>
      <c r="E14" s="3">
        <f t="shared" si="3"/>
        <v>66.396939739842637</v>
      </c>
      <c r="F14" s="3">
        <f t="shared" si="0"/>
        <v>66.015771443743702</v>
      </c>
      <c r="G14" s="3">
        <f t="shared" si="4"/>
        <v>1141.2013147352134</v>
      </c>
    </row>
    <row r="15" spans="2:15" x14ac:dyDescent="0.25">
      <c r="B15" t="s">
        <v>9</v>
      </c>
      <c r="C15" s="10">
        <f>C9/C13</f>
        <v>133.61111111111111</v>
      </c>
      <c r="D15" s="10"/>
      <c r="E15" s="3">
        <f t="shared" si="3"/>
        <v>62.766072310436734</v>
      </c>
      <c r="F15" s="3">
        <f t="shared" si="0"/>
        <v>69.646638873149612</v>
      </c>
      <c r="G15" s="3">
        <f>G14-F15</f>
        <v>1071.5546758620637</v>
      </c>
    </row>
    <row r="16" spans="2:15" x14ac:dyDescent="0.25">
      <c r="B16" t="s">
        <v>13</v>
      </c>
      <c r="C16" s="10">
        <f>PV(C14,C13,-C15)</f>
        <v>1502.6005049453331</v>
      </c>
      <c r="E16" s="3">
        <f t="shared" si="3"/>
        <v>58.935507172413509</v>
      </c>
      <c r="F16" s="3">
        <f t="shared" si="0"/>
        <v>73.47720401117283</v>
      </c>
      <c r="G16" s="3">
        <f>G15-F16</f>
        <v>998.0774718508909</v>
      </c>
      <c r="H16" s="5"/>
      <c r="O16" s="5"/>
    </row>
    <row r="17" spans="2:8" x14ac:dyDescent="0.25">
      <c r="B17" t="s">
        <v>10</v>
      </c>
      <c r="C17">
        <f>C13+B8</f>
        <v>23</v>
      </c>
      <c r="E17" s="3">
        <f t="shared" si="3"/>
        <v>54.894260951798998</v>
      </c>
      <c r="F17" s="3">
        <f t="shared" si="0"/>
        <v>77.518450231787341</v>
      </c>
      <c r="G17" s="3">
        <f t="shared" si="4"/>
        <v>920.55902161910353</v>
      </c>
      <c r="H17" s="5"/>
    </row>
    <row r="18" spans="2:8" x14ac:dyDescent="0.25">
      <c r="E18" s="3">
        <f t="shared" si="3"/>
        <v>50.630746189050697</v>
      </c>
      <c r="F18" s="3">
        <f t="shared" si="0"/>
        <v>81.781964994535642</v>
      </c>
      <c r="G18" s="3">
        <f t="shared" si="4"/>
        <v>838.77705662456788</v>
      </c>
    </row>
    <row r="19" spans="2:8" x14ac:dyDescent="0.25">
      <c r="B19" t="s">
        <v>12</v>
      </c>
      <c r="C19" s="15">
        <f>SUM(D4:D9)</f>
        <v>1704.8192701075454</v>
      </c>
      <c r="E19" s="3">
        <f t="shared" si="3"/>
        <v>46.132738114351234</v>
      </c>
      <c r="F19" s="3">
        <f t="shared" si="0"/>
        <v>86.279973069235098</v>
      </c>
      <c r="G19" s="3">
        <f t="shared" si="4"/>
        <v>752.49708355533278</v>
      </c>
      <c r="H19" s="5"/>
    </row>
    <row r="20" spans="2:8" x14ac:dyDescent="0.25">
      <c r="E20" s="3">
        <f t="shared" si="3"/>
        <v>41.387339595543303</v>
      </c>
      <c r="F20" s="3">
        <f t="shared" si="0"/>
        <v>91.025371588043043</v>
      </c>
      <c r="G20" s="3">
        <f t="shared" si="4"/>
        <v>661.47171196728971</v>
      </c>
    </row>
    <row r="21" spans="2:8" x14ac:dyDescent="0.25">
      <c r="B21" t="s">
        <v>14</v>
      </c>
      <c r="C21" s="10">
        <f>PMT(C14,C17,-C19)</f>
        <v>132.41271118358634</v>
      </c>
      <c r="E21" s="3">
        <f t="shared" si="3"/>
        <v>36.380944158200933</v>
      </c>
      <c r="F21" s="3">
        <f t="shared" si="0"/>
        <v>96.031767025385406</v>
      </c>
      <c r="G21" s="3">
        <f t="shared" si="4"/>
        <v>565.43994494190429</v>
      </c>
      <c r="H21" s="6"/>
    </row>
    <row r="22" spans="2:8" x14ac:dyDescent="0.25">
      <c r="E22" s="3">
        <f t="shared" si="3"/>
        <v>31.099196971804737</v>
      </c>
      <c r="F22" s="3">
        <f t="shared" si="0"/>
        <v>101.31351421178161</v>
      </c>
      <c r="G22" s="3">
        <f t="shared" si="4"/>
        <v>464.12643073012271</v>
      </c>
      <c r="H22" s="6"/>
    </row>
    <row r="23" spans="2:8" x14ac:dyDescent="0.25">
      <c r="B23" t="s">
        <v>15</v>
      </c>
      <c r="C23" s="14">
        <v>9538</v>
      </c>
      <c r="E23" s="3">
        <f t="shared" si="3"/>
        <v>25.526953690156748</v>
      </c>
      <c r="F23" s="3">
        <f t="shared" si="0"/>
        <v>106.88575749342959</v>
      </c>
      <c r="G23" s="3">
        <f t="shared" si="4"/>
        <v>357.24067323669311</v>
      </c>
    </row>
    <row r="24" spans="2:8" x14ac:dyDescent="0.25">
      <c r="B24" t="s">
        <v>16</v>
      </c>
      <c r="C24" s="10">
        <f>C19</f>
        <v>1704.8192701075454</v>
      </c>
      <c r="E24" s="3">
        <f t="shared" si="3"/>
        <v>19.648237028018123</v>
      </c>
      <c r="F24" s="3">
        <f t="shared" si="0"/>
        <v>112.76447415556822</v>
      </c>
      <c r="G24" s="3">
        <f t="shared" si="4"/>
        <v>244.47619908112489</v>
      </c>
    </row>
    <row r="25" spans="2:8" x14ac:dyDescent="0.25">
      <c r="B25" t="s">
        <v>17</v>
      </c>
      <c r="C25" s="15">
        <f>SUM(C23:C24)</f>
        <v>11242.819270107546</v>
      </c>
      <c r="E25" s="3">
        <f t="shared" si="3"/>
        <v>13.446190949461869</v>
      </c>
      <c r="F25" s="3">
        <f t="shared" si="0"/>
        <v>118.96652023412447</v>
      </c>
      <c r="G25" s="3">
        <f t="shared" si="4"/>
        <v>125.50967884700042</v>
      </c>
    </row>
    <row r="26" spans="2:8" x14ac:dyDescent="0.25">
      <c r="E26" s="3">
        <f t="shared" si="3"/>
        <v>6.9030323365850226</v>
      </c>
      <c r="F26" s="3">
        <f t="shared" si="0"/>
        <v>125.50967884700131</v>
      </c>
      <c r="G26" s="3">
        <f t="shared" si="4"/>
        <v>-8.9528384705772623E-13</v>
      </c>
    </row>
    <row r="27" spans="2:8" x14ac:dyDescent="0.25">
      <c r="E27" s="10"/>
      <c r="F27" s="10"/>
      <c r="G27" s="10"/>
    </row>
    <row r="28" spans="2:8" x14ac:dyDescent="0.25">
      <c r="E28" s="10"/>
      <c r="F28" s="10"/>
      <c r="G28" s="10"/>
    </row>
    <row r="29" spans="2:8" x14ac:dyDescent="0.25">
      <c r="E29" s="10"/>
      <c r="F29" s="10"/>
      <c r="G29" s="10"/>
    </row>
    <row r="30" spans="2:8" x14ac:dyDescent="0.25">
      <c r="E30" s="10"/>
      <c r="F30" s="10"/>
      <c r="G30" s="10"/>
    </row>
    <row r="31" spans="2:8" x14ac:dyDescent="0.25">
      <c r="E31" s="10"/>
      <c r="F31" s="10"/>
      <c r="G31" s="10"/>
    </row>
    <row r="32" spans="2:8" x14ac:dyDescent="0.25">
      <c r="E32" s="10"/>
      <c r="F32" s="10"/>
      <c r="G32" s="10"/>
    </row>
    <row r="33" spans="5:7" x14ac:dyDescent="0.25">
      <c r="E33" s="10"/>
      <c r="F33" s="10"/>
      <c r="G33" s="10"/>
    </row>
    <row r="34" spans="5:7" x14ac:dyDescent="0.25">
      <c r="E34" s="10"/>
      <c r="F34" s="10"/>
      <c r="G34" s="10"/>
    </row>
    <row r="35" spans="5:7" x14ac:dyDescent="0.25">
      <c r="E35" s="10"/>
      <c r="F35" s="10"/>
      <c r="G35" s="10"/>
    </row>
    <row r="36" spans="5:7" x14ac:dyDescent="0.25">
      <c r="E36" s="10"/>
      <c r="F36" s="10"/>
      <c r="G36" s="10"/>
    </row>
    <row r="37" spans="5:7" x14ac:dyDescent="0.25">
      <c r="E37" s="10"/>
      <c r="F37" s="10"/>
      <c r="G37" s="10"/>
    </row>
    <row r="38" spans="5:7" x14ac:dyDescent="0.25">
      <c r="E38" s="10"/>
      <c r="F38" s="10"/>
      <c r="G38" s="10"/>
    </row>
    <row r="39" spans="5:7" x14ac:dyDescent="0.25">
      <c r="E39" s="10"/>
      <c r="F39" s="10"/>
      <c r="G39" s="10"/>
    </row>
    <row r="40" spans="5:7" x14ac:dyDescent="0.25">
      <c r="E40" s="10"/>
      <c r="F40" s="10"/>
      <c r="G40" s="10"/>
    </row>
    <row r="41" spans="5:7" x14ac:dyDescent="0.25">
      <c r="E41" s="10"/>
      <c r="F41" s="10"/>
      <c r="G41" s="10"/>
    </row>
    <row r="42" spans="5:7" x14ac:dyDescent="0.25">
      <c r="E42" s="10"/>
      <c r="F42" s="10"/>
      <c r="G42" s="10"/>
    </row>
    <row r="43" spans="5:7" x14ac:dyDescent="0.25">
      <c r="E43" s="10"/>
      <c r="F43" s="10"/>
      <c r="G43" s="10"/>
    </row>
    <row r="44" spans="5:7" x14ac:dyDescent="0.25">
      <c r="E44" s="10"/>
      <c r="F44" s="10"/>
      <c r="G44" s="10"/>
    </row>
    <row r="45" spans="5:7" x14ac:dyDescent="0.25">
      <c r="E45" s="10"/>
      <c r="F45" s="10"/>
      <c r="G45" s="10"/>
    </row>
    <row r="46" spans="5:7" x14ac:dyDescent="0.25">
      <c r="E46" s="10"/>
      <c r="F46" s="10"/>
      <c r="G46" s="10"/>
    </row>
    <row r="47" spans="5:7" x14ac:dyDescent="0.25">
      <c r="E47" s="10"/>
      <c r="F47" s="10"/>
      <c r="G47" s="10"/>
    </row>
    <row r="48" spans="5:7" x14ac:dyDescent="0.25">
      <c r="E48" s="10"/>
      <c r="F48" s="10"/>
      <c r="G48" s="10"/>
    </row>
    <row r="49" spans="5:7" x14ac:dyDescent="0.25">
      <c r="E49" s="10"/>
      <c r="F49" s="10"/>
      <c r="G49" s="10"/>
    </row>
    <row r="50" spans="5:7" x14ac:dyDescent="0.25">
      <c r="E50" s="10"/>
      <c r="F50" s="10"/>
      <c r="G50" s="10"/>
    </row>
    <row r="51" spans="5:7" x14ac:dyDescent="0.25">
      <c r="E51" s="10"/>
      <c r="F51" s="10"/>
      <c r="G51" s="10"/>
    </row>
    <row r="52" spans="5:7" x14ac:dyDescent="0.25">
      <c r="E52" s="10"/>
      <c r="F52" s="10"/>
      <c r="G52" s="10"/>
    </row>
    <row r="53" spans="5:7" x14ac:dyDescent="0.25">
      <c r="E53" s="10"/>
      <c r="F53" s="10"/>
      <c r="G53" s="10"/>
    </row>
    <row r="54" spans="5:7" x14ac:dyDescent="0.25">
      <c r="E54" s="10"/>
      <c r="F54" s="10"/>
      <c r="G54" s="10"/>
    </row>
    <row r="55" spans="5:7" x14ac:dyDescent="0.25">
      <c r="E55" s="10"/>
      <c r="F55" s="10"/>
      <c r="G55" s="10"/>
    </row>
    <row r="56" spans="5:7" x14ac:dyDescent="0.25">
      <c r="E56" s="10"/>
      <c r="F56" s="10"/>
      <c r="G56" s="10"/>
    </row>
    <row r="57" spans="5:7" x14ac:dyDescent="0.25">
      <c r="E57" s="10"/>
      <c r="F57" s="10"/>
      <c r="G57" s="10"/>
    </row>
    <row r="58" spans="5:7" x14ac:dyDescent="0.25">
      <c r="E58" s="10"/>
      <c r="F58" s="10"/>
      <c r="G58" s="10"/>
    </row>
    <row r="59" spans="5:7" x14ac:dyDescent="0.25">
      <c r="E59" s="10"/>
      <c r="F59" s="10"/>
      <c r="G59" s="10"/>
    </row>
    <row r="60" spans="5:7" x14ac:dyDescent="0.25">
      <c r="E60" s="10"/>
      <c r="F60" s="10"/>
      <c r="G60" s="10"/>
    </row>
    <row r="61" spans="5:7" x14ac:dyDescent="0.25">
      <c r="E61" s="10"/>
      <c r="F61" s="10"/>
      <c r="G61" s="10"/>
    </row>
    <row r="62" spans="5:7" x14ac:dyDescent="0.25">
      <c r="E62" s="10"/>
      <c r="F62" s="10"/>
      <c r="G62" s="10"/>
    </row>
    <row r="63" spans="5:7" x14ac:dyDescent="0.25">
      <c r="E63" s="10"/>
      <c r="F63" s="10"/>
      <c r="G63" s="10"/>
    </row>
    <row r="64" spans="5:7" x14ac:dyDescent="0.25">
      <c r="E64" s="10"/>
      <c r="F64" s="10"/>
      <c r="G64" s="10"/>
    </row>
    <row r="65" spans="5:7" x14ac:dyDescent="0.25">
      <c r="E65" s="10"/>
      <c r="F65" s="10"/>
      <c r="G65" s="10"/>
    </row>
    <row r="66" spans="5:7" x14ac:dyDescent="0.25">
      <c r="E66" s="10"/>
      <c r="F66" s="10"/>
      <c r="G66" s="10"/>
    </row>
    <row r="67" spans="5:7" x14ac:dyDescent="0.25">
      <c r="E67" s="10"/>
      <c r="F67" s="10"/>
      <c r="G67" s="10"/>
    </row>
    <row r="68" spans="5:7" x14ac:dyDescent="0.25">
      <c r="E68" s="10"/>
      <c r="F68" s="10"/>
      <c r="G68" s="10"/>
    </row>
    <row r="69" spans="5:7" x14ac:dyDescent="0.25">
      <c r="E69" s="10"/>
      <c r="F69" s="10"/>
      <c r="G69" s="10"/>
    </row>
    <row r="70" spans="5:7" x14ac:dyDescent="0.25">
      <c r="E70" s="10"/>
      <c r="F70" s="10"/>
      <c r="G70" s="10"/>
    </row>
    <row r="71" spans="5:7" x14ac:dyDescent="0.25">
      <c r="E71" s="10"/>
      <c r="F71" s="10"/>
      <c r="G71" s="10"/>
    </row>
    <row r="72" spans="5:7" x14ac:dyDescent="0.25">
      <c r="E72" s="10"/>
      <c r="F72" s="10"/>
      <c r="G72" s="10"/>
    </row>
    <row r="73" spans="5:7" x14ac:dyDescent="0.25">
      <c r="E73" s="10"/>
      <c r="F73" s="10"/>
      <c r="G73" s="10"/>
    </row>
    <row r="74" spans="5:7" x14ac:dyDescent="0.25">
      <c r="E74" s="10"/>
      <c r="F74" s="10"/>
      <c r="G74" s="10"/>
    </row>
    <row r="75" spans="5:7" x14ac:dyDescent="0.25">
      <c r="E75" s="10"/>
      <c r="F75" s="10"/>
      <c r="G75" s="10"/>
    </row>
    <row r="76" spans="5:7" x14ac:dyDescent="0.25">
      <c r="E76" s="10"/>
      <c r="F76" s="10"/>
      <c r="G76" s="10"/>
    </row>
    <row r="77" spans="5:7" x14ac:dyDescent="0.25">
      <c r="E77" s="10"/>
      <c r="F77" s="10"/>
      <c r="G77" s="10"/>
    </row>
    <row r="78" spans="5:7" x14ac:dyDescent="0.25">
      <c r="E78" s="10"/>
      <c r="F78" s="10"/>
      <c r="G78" s="10"/>
    </row>
    <row r="79" spans="5:7" x14ac:dyDescent="0.25">
      <c r="E79" s="10"/>
      <c r="F79" s="10"/>
      <c r="G79" s="10"/>
    </row>
    <row r="80" spans="5:7" x14ac:dyDescent="0.25">
      <c r="E80" s="10"/>
      <c r="F80" s="10"/>
      <c r="G80" s="10"/>
    </row>
    <row r="81" spans="5:7" x14ac:dyDescent="0.25">
      <c r="E81" s="10"/>
      <c r="F81" s="10"/>
      <c r="G81" s="10"/>
    </row>
    <row r="82" spans="5:7" x14ac:dyDescent="0.25">
      <c r="E82" s="10"/>
      <c r="F82" s="10"/>
      <c r="G82" s="10"/>
    </row>
    <row r="83" spans="5:7" x14ac:dyDescent="0.25">
      <c r="E83" s="10"/>
      <c r="F83" s="10"/>
      <c r="G83" s="10"/>
    </row>
    <row r="84" spans="5:7" x14ac:dyDescent="0.25">
      <c r="E84" s="10"/>
      <c r="F84" s="10"/>
      <c r="G84" s="10"/>
    </row>
    <row r="85" spans="5:7" x14ac:dyDescent="0.25">
      <c r="E85" s="10"/>
      <c r="F85" s="10"/>
      <c r="G85" s="10"/>
    </row>
    <row r="86" spans="5:7" x14ac:dyDescent="0.25">
      <c r="E86" s="10"/>
      <c r="F86" s="10"/>
      <c r="G86" s="10"/>
    </row>
    <row r="87" spans="5:7" x14ac:dyDescent="0.25">
      <c r="E87" s="10"/>
      <c r="F87" s="10"/>
      <c r="G87" s="10"/>
    </row>
    <row r="88" spans="5:7" x14ac:dyDescent="0.25">
      <c r="E88" s="10"/>
      <c r="F88" s="10"/>
      <c r="G88" s="10"/>
    </row>
    <row r="89" spans="5:7" x14ac:dyDescent="0.25">
      <c r="E89" s="10"/>
      <c r="F89" s="10"/>
      <c r="G89" s="10"/>
    </row>
    <row r="90" spans="5:7" x14ac:dyDescent="0.25">
      <c r="E90" s="10"/>
      <c r="F90" s="10"/>
      <c r="G90" s="10"/>
    </row>
    <row r="91" spans="5:7" x14ac:dyDescent="0.25">
      <c r="E91" s="10"/>
      <c r="F91" s="10"/>
      <c r="G91" s="10"/>
    </row>
    <row r="92" spans="5:7" x14ac:dyDescent="0.25">
      <c r="E92" s="10"/>
      <c r="F92" s="10"/>
      <c r="G92" s="10"/>
    </row>
    <row r="93" spans="5:7" x14ac:dyDescent="0.25">
      <c r="E93" s="10"/>
      <c r="F93" s="10"/>
      <c r="G93" s="10"/>
    </row>
    <row r="94" spans="5:7" x14ac:dyDescent="0.25">
      <c r="E94" s="10"/>
      <c r="F94" s="10"/>
      <c r="G94" s="10"/>
    </row>
    <row r="95" spans="5:7" x14ac:dyDescent="0.25">
      <c r="E95" s="10"/>
      <c r="F95" s="10"/>
      <c r="G95" s="10"/>
    </row>
    <row r="96" spans="5:7" x14ac:dyDescent="0.25">
      <c r="E96" s="10"/>
      <c r="F96" s="10"/>
      <c r="G96" s="10"/>
    </row>
    <row r="97" spans="5:7" x14ac:dyDescent="0.25">
      <c r="E97" s="10"/>
      <c r="F97" s="10"/>
      <c r="G97" s="10"/>
    </row>
    <row r="98" spans="5:7" x14ac:dyDescent="0.25">
      <c r="E98" s="10"/>
      <c r="F98" s="10"/>
      <c r="G98" s="10"/>
    </row>
    <row r="99" spans="5:7" x14ac:dyDescent="0.25">
      <c r="E99" s="10"/>
      <c r="F99" s="10"/>
      <c r="G99" s="10"/>
    </row>
    <row r="100" spans="5:7" x14ac:dyDescent="0.25">
      <c r="E100" s="10"/>
      <c r="F100" s="10"/>
      <c r="G100" s="10"/>
    </row>
    <row r="101" spans="5:7" x14ac:dyDescent="0.25">
      <c r="E101" s="10"/>
      <c r="F101" s="10"/>
      <c r="G101" s="10"/>
    </row>
    <row r="102" spans="5:7" x14ac:dyDescent="0.25">
      <c r="E102" s="10"/>
      <c r="F102" s="10"/>
      <c r="G102" s="10"/>
    </row>
    <row r="103" spans="5:7" x14ac:dyDescent="0.25">
      <c r="E103" s="10"/>
      <c r="F103" s="10"/>
      <c r="G103" s="10"/>
    </row>
    <row r="104" spans="5:7" x14ac:dyDescent="0.25">
      <c r="E104" s="10"/>
      <c r="F104" s="10"/>
      <c r="G104" s="10"/>
    </row>
    <row r="105" spans="5:7" x14ac:dyDescent="0.25">
      <c r="E105" s="10"/>
      <c r="F105" s="10"/>
      <c r="G105" s="10"/>
    </row>
    <row r="106" spans="5:7" x14ac:dyDescent="0.25">
      <c r="E106" s="10"/>
      <c r="F106" s="10"/>
      <c r="G106" s="10"/>
    </row>
    <row r="107" spans="5:7" x14ac:dyDescent="0.25">
      <c r="E107" s="10"/>
      <c r="F107" s="10"/>
      <c r="G107" s="10"/>
    </row>
    <row r="108" spans="5:7" x14ac:dyDescent="0.25">
      <c r="E108" s="10"/>
      <c r="F108" s="10"/>
      <c r="G108" s="10"/>
    </row>
    <row r="109" spans="5:7" x14ac:dyDescent="0.25">
      <c r="E109" s="10"/>
      <c r="F109" s="10"/>
      <c r="G109" s="10"/>
    </row>
    <row r="110" spans="5:7" x14ac:dyDescent="0.25">
      <c r="E110" s="10"/>
      <c r="F110" s="10"/>
      <c r="G110" s="10"/>
    </row>
    <row r="111" spans="5:7" x14ac:dyDescent="0.25">
      <c r="E111" s="10"/>
      <c r="F111" s="10"/>
      <c r="G111" s="10"/>
    </row>
    <row r="112" spans="5:7" x14ac:dyDescent="0.25">
      <c r="E112" s="10"/>
      <c r="F112" s="10"/>
      <c r="G112" s="10"/>
    </row>
    <row r="113" spans="5:7" x14ac:dyDescent="0.25">
      <c r="E113" s="10"/>
      <c r="F113" s="10"/>
      <c r="G113" s="10"/>
    </row>
    <row r="114" spans="5:7" x14ac:dyDescent="0.25">
      <c r="E114" s="10"/>
      <c r="F114" s="10"/>
      <c r="G114" s="10"/>
    </row>
    <row r="115" spans="5:7" x14ac:dyDescent="0.25">
      <c r="E115" s="10"/>
      <c r="F115" s="10"/>
      <c r="G115" s="10"/>
    </row>
    <row r="116" spans="5:7" x14ac:dyDescent="0.25">
      <c r="E116" s="10"/>
      <c r="F116" s="10"/>
      <c r="G116" s="10"/>
    </row>
    <row r="117" spans="5:7" x14ac:dyDescent="0.25">
      <c r="E117" s="10"/>
      <c r="F117" s="10"/>
      <c r="G117" s="10"/>
    </row>
    <row r="118" spans="5:7" x14ac:dyDescent="0.25">
      <c r="E118" s="10"/>
      <c r="F118" s="10"/>
      <c r="G118" s="10"/>
    </row>
    <row r="119" spans="5:7" x14ac:dyDescent="0.25">
      <c r="E119" s="10"/>
      <c r="F119" s="10"/>
      <c r="G119" s="10"/>
    </row>
    <row r="120" spans="5:7" x14ac:dyDescent="0.25">
      <c r="E120" s="10"/>
      <c r="F120" s="10"/>
      <c r="G120" s="10"/>
    </row>
    <row r="121" spans="5:7" x14ac:dyDescent="0.25">
      <c r="E121" s="10"/>
      <c r="F121" s="10"/>
      <c r="G121" s="10"/>
    </row>
    <row r="122" spans="5:7" x14ac:dyDescent="0.25">
      <c r="E122" s="10"/>
      <c r="F122" s="10"/>
      <c r="G122" s="10"/>
    </row>
    <row r="123" spans="5:7" x14ac:dyDescent="0.25">
      <c r="E123" s="10"/>
      <c r="F123" s="10"/>
      <c r="G123" s="10"/>
    </row>
    <row r="124" spans="5:7" x14ac:dyDescent="0.25">
      <c r="E124" s="10"/>
      <c r="F124" s="10"/>
      <c r="G124" s="10"/>
    </row>
    <row r="125" spans="5:7" x14ac:dyDescent="0.25">
      <c r="E125" s="10"/>
      <c r="F125" s="10"/>
      <c r="G125" s="10"/>
    </row>
    <row r="126" spans="5:7" x14ac:dyDescent="0.25">
      <c r="E126" s="10"/>
      <c r="F126" s="10"/>
      <c r="G126" s="10"/>
    </row>
    <row r="127" spans="5:7" x14ac:dyDescent="0.25">
      <c r="E127" s="10"/>
      <c r="F127" s="10"/>
      <c r="G127" s="10"/>
    </row>
    <row r="128" spans="5:7" x14ac:dyDescent="0.25">
      <c r="E128" s="10"/>
      <c r="F128" s="10"/>
      <c r="G128" s="10"/>
    </row>
    <row r="129" spans="5:7" x14ac:dyDescent="0.25">
      <c r="E129" s="10"/>
      <c r="F129" s="10"/>
      <c r="G129" s="10"/>
    </row>
    <row r="130" spans="5:7" x14ac:dyDescent="0.25">
      <c r="E130" s="10"/>
      <c r="F130" s="10"/>
      <c r="G130" s="10"/>
    </row>
    <row r="131" spans="5:7" x14ac:dyDescent="0.25">
      <c r="E131" s="10"/>
      <c r="F131" s="10"/>
      <c r="G131" s="10"/>
    </row>
    <row r="132" spans="5:7" x14ac:dyDescent="0.25">
      <c r="E132" s="10"/>
      <c r="F132" s="10"/>
      <c r="G132" s="10"/>
    </row>
    <row r="133" spans="5:7" x14ac:dyDescent="0.25">
      <c r="E133" s="10"/>
      <c r="F133" s="10"/>
      <c r="G133" s="10"/>
    </row>
    <row r="134" spans="5:7" x14ac:dyDescent="0.25">
      <c r="E134" s="10"/>
      <c r="F134" s="10"/>
      <c r="G134" s="10"/>
    </row>
    <row r="135" spans="5:7" x14ac:dyDescent="0.25">
      <c r="E135" s="10"/>
      <c r="F135" s="10"/>
      <c r="G135" s="10"/>
    </row>
    <row r="136" spans="5:7" x14ac:dyDescent="0.25">
      <c r="E136" s="10"/>
      <c r="F136" s="10"/>
      <c r="G136" s="10"/>
    </row>
    <row r="137" spans="5:7" x14ac:dyDescent="0.25">
      <c r="E137" s="10"/>
      <c r="F137" s="10"/>
      <c r="G137" s="10"/>
    </row>
    <row r="138" spans="5:7" x14ac:dyDescent="0.25">
      <c r="E138" s="10"/>
      <c r="F138" s="10"/>
      <c r="G138" s="10"/>
    </row>
    <row r="139" spans="5:7" x14ac:dyDescent="0.25">
      <c r="E139" s="10"/>
      <c r="F139" s="10"/>
      <c r="G139" s="10"/>
    </row>
    <row r="140" spans="5:7" x14ac:dyDescent="0.25">
      <c r="E140" s="10"/>
      <c r="F140" s="10"/>
      <c r="G140" s="10"/>
    </row>
    <row r="141" spans="5:7" x14ac:dyDescent="0.25">
      <c r="E141" s="10"/>
      <c r="F141" s="10"/>
      <c r="G141" s="10"/>
    </row>
  </sheetData>
  <mergeCells count="5">
    <mergeCell ref="C2:C3"/>
    <mergeCell ref="D2:D3"/>
    <mergeCell ref="E2:E3"/>
    <mergeCell ref="F2:F3"/>
    <mergeCell ref="G2:G3"/>
  </mergeCells>
  <pageMargins left="0.7" right="0.7" top="0.75" bottom="0.75" header="0.3" footer="0.3"/>
  <ignoredErrors>
    <ignoredError sqref="C1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Capitalize Operating Lease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Hardy</dc:creator>
  <cp:lastModifiedBy>Aaron Hardy</cp:lastModifiedBy>
  <dcterms:created xsi:type="dcterms:W3CDTF">2025-12-29T12:55:24Z</dcterms:created>
  <dcterms:modified xsi:type="dcterms:W3CDTF">2026-01-01T13:37:54Z</dcterms:modified>
</cp:coreProperties>
</file>